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d1a4b3b14e7a45a/Documents/flate3sena1/1_ค่าบำรุงรายเดือน/68/"/>
    </mc:Choice>
  </mc:AlternateContent>
  <xr:revisionPtr revIDLastSave="27" documentId="8_{71112058-FD14-4DC6-8563-77D87A6CFF1B}" xr6:coauthVersionLast="47" xr6:coauthVersionMax="47" xr10:uidLastSave="{EA4DE131-78AF-4832-9EB3-7A4D3820AB02}"/>
  <bookViews>
    <workbookView xWindow="-28920" yWindow="-120" windowWidth="29040" windowHeight="15720" xr2:uid="{423B6A76-1F07-4A38-8A96-8D9791821EE7}"/>
  </bookViews>
  <sheets>
    <sheet name="สค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1" l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8" i="1"/>
  <c r="K38" i="1"/>
  <c r="F38" i="1"/>
  <c r="R38" i="1"/>
  <c r="Q38" i="1"/>
  <c r="O38" i="1"/>
  <c r="N38" i="1"/>
  <c r="L38" i="1"/>
  <c r="G38" i="1"/>
  <c r="I38" i="1"/>
  <c r="H38" i="1"/>
  <c r="S38" i="1" l="1"/>
  <c r="P38" i="1"/>
  <c r="J38" i="1" l="1"/>
  <c r="T38" i="1" l="1"/>
  <c r="M38" i="1"/>
</calcChain>
</file>

<file path=xl/sharedStrings.xml><?xml version="1.0" encoding="utf-8"?>
<sst xmlns="http://schemas.openxmlformats.org/spreadsheetml/2006/main" count="125" uniqueCount="78">
  <si>
    <t>สำนักแผนงานและงบประมาน</t>
  </si>
  <si>
    <t>ค่าน้ำประปา</t>
  </si>
  <si>
    <t>ค่าไฟฟ้า</t>
  </si>
  <si>
    <t>รวม</t>
  </si>
  <si>
    <t>รายชื่อผู้พักอาศัย</t>
  </si>
  <si>
    <t>ตำแหน่ง</t>
  </si>
  <si>
    <t>ระดับ</t>
  </si>
  <si>
    <t>สังกัด</t>
  </si>
  <si>
    <t>จดครั้งนี้</t>
  </si>
  <si>
    <t>จดครั้งก่อน</t>
  </si>
  <si>
    <t>จำนวน</t>
  </si>
  <si>
    <t>จำนวนเงิน 
(หน่วยละ 
16 บาท)</t>
  </si>
  <si>
    <t>ค่าบำรุง</t>
  </si>
  <si>
    <t>รวมเงินค่า</t>
  </si>
  <si>
    <t>จำนวนเงิน
 (หน่วยละ 
5 บาท)</t>
  </si>
  <si>
    <t>รวมค่า</t>
  </si>
  <si>
    <t>หน่วย</t>
  </si>
  <si>
    <t>มิเตอร์น้ำ</t>
  </si>
  <si>
    <t xml:space="preserve">น้ำประปา </t>
  </si>
  <si>
    <t>มิเตอร์ไฟฟ้า</t>
  </si>
  <si>
    <t>ไฟฟ้า</t>
  </si>
  <si>
    <t>(บาท)</t>
  </si>
  <si>
    <t>นายปริญญา  บำรุงชู</t>
  </si>
  <si>
    <t>นักวิชาการคอมพิวเตอร์</t>
  </si>
  <si>
    <t>ชำนาญการ</t>
  </si>
  <si>
    <t>สำนักเทคโนโลยีสารสนเทศ</t>
  </si>
  <si>
    <t>นายวีรพงษ์ จุลภาพ</t>
  </si>
  <si>
    <t>ปฏิบัติการ</t>
  </si>
  <si>
    <t>สำนักอำนวยการประจำศาลแพ่งกรุงเทพใต้</t>
  </si>
  <si>
    <t>น.ส.มนัสนันท์ พรมอยู่</t>
  </si>
  <si>
    <t>นักวิชาการตรวจสอบภายใน</t>
  </si>
  <si>
    <t>สำนักตรวจสอบภายใน</t>
  </si>
  <si>
    <t>- ห้องชำรุด -</t>
  </si>
  <si>
    <t>น.ส.ณัชชาภัทร พวงแก้ว</t>
  </si>
  <si>
    <t>เจ้าพนักงานศาลยุติธรรม</t>
  </si>
  <si>
    <t>สำนักอำนวยการประจำศาลแพ่ง</t>
  </si>
  <si>
    <t>น.ส.ประนอม  อาจหาร</t>
  </si>
  <si>
    <t>นิติกร</t>
  </si>
  <si>
    <t>สำนักอำนวยการประจำศาลแขวงพระนครใต้</t>
  </si>
  <si>
    <t>น.ส.ภรทิวา  มาลีชัย</t>
  </si>
  <si>
    <t>- ห้องว่าง -</t>
  </si>
  <si>
    <t>นายเจนวิทย์  นิตยพลสิทธิ์</t>
  </si>
  <si>
    <t>สำนักอำนวยการประจำศาลอุทธรณ์</t>
  </si>
  <si>
    <t>น.ส.ณัฐพร ยันต์วิเศษ</t>
  </si>
  <si>
    <t>สำนักอำนวยการประจำศาลอาญา</t>
  </si>
  <si>
    <t>น.ส.พรรวินท์ พรสัจจะนนท์</t>
  </si>
  <si>
    <t>นักวิเคราะห์นโยบายและแผน</t>
  </si>
  <si>
    <t>สำนักอำนวยการประจำศาลอุทธรณ์คดีชำนัญพิเศษ</t>
  </si>
  <si>
    <t>นายนนทภู ประพิมพา</t>
  </si>
  <si>
    <t>เจ้าพนักงานคดี</t>
  </si>
  <si>
    <t>น.ส.อินทรา พหลสิทธิวงศ์</t>
  </si>
  <si>
    <t>น.ส.หนูคิม ศรีบุรินทร์</t>
  </si>
  <si>
    <t>น.ส.ผุสชา  เรืองกูล</t>
  </si>
  <si>
    <t>นักประชาสัมพันธ์</t>
  </si>
  <si>
    <t>กองสารนิเทศและประชาสัมพันธ์</t>
  </si>
  <si>
    <t>จ.ส.อ.ประพันธ์ สุทธหลวง</t>
  </si>
  <si>
    <t>เจ้าพนักงานตำรวจศาล</t>
  </si>
  <si>
    <t>รวมทั้งสิ้น</t>
  </si>
  <si>
    <t xml:space="preserve">   หมายเหตุ    - สำหรับห้องที่ยังไม่จัดส่งเอกสารการชำระเงิน จะดำเนินการเรียกเก็บให้ในภายหลัง</t>
  </si>
  <si>
    <t xml:space="preserve">                   - ชำระเงินผ่าน QRCode ที่ติดไว้หน้าห้องพัก</t>
  </si>
  <si>
    <t>ค่าบำรุง
รายเดือน</t>
  </si>
  <si>
    <t>ค่า
ส่วนกลาง</t>
  </si>
  <si>
    <t>ตารางการจัดเก็บค่าบำรุงรายเดือน ค่าส่วนกลาง ค่าน้ำประปา และค่าไฟฟ้า</t>
  </si>
  <si>
    <t xml:space="preserve">ของอาคารบ้านพักศาลยุติธรรม  ซอยเสนานิคม 1 อาคาร 3  </t>
  </si>
  <si>
    <t>ผู้ดูแลอาคารชื่อ นายปริญญา บำรุงชู นักวิชาการคอมพิวเตอร์ชำนาญการ</t>
  </si>
  <si>
    <t>ห้อง</t>
  </si>
  <si>
    <t>เลขที่
1470/</t>
  </si>
  <si>
    <t>น.ส.กรรนิการ์ ชัยเจริญ</t>
  </si>
  <si>
    <t>สถาบันวิจัยและพัฒนารพีพัฒนศักดิ์</t>
  </si>
  <si>
    <t>นายณฐนน ภูมามอบ</t>
  </si>
  <si>
    <t>สำนักอำนวยการประจำศาลอุทธรณ์ชำนัญพิเศษ</t>
  </si>
  <si>
    <t>นายณัฐ ตรียินดี</t>
  </si>
  <si>
    <t>สำนักอำนวยการประจำศาลแขวงดอนเมือง</t>
  </si>
  <si>
    <t>นายวิทยา จิระโต</t>
  </si>
  <si>
    <t>ว่าที่ร.อ.คเณศวร  บุตราคำ</t>
  </si>
  <si>
    <t>ศูนย์รักษาความปลอดภัย</t>
  </si>
  <si>
    <t xml:space="preserve">                   - กรุณาโอนภายในวันที่ ๕ ธันวาคม ๒๕๖๘</t>
  </si>
  <si>
    <t>ประจำเดือน  พฤศจิกายน พ.ศ.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</si>
</sst>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"/>
    <numFmt numFmtId="165" formatCode="d&quot; &quot;mmm&quot; &quot;yyyy"/>
    <numFmt numFmtId="166" formatCode="_-* #,##0.00_-;\-* #,##0.00_-;_-* &quot;-&quot;??_-;_-@"/>
  </numFmts>
  <fonts count="16" x14ac:knownFonts="1">
    <font>
      <sz val="11"/>
      <color theme="1"/>
      <name val="Aptos Narrow"/>
      <family val="2"/>
      <charset val="222"/>
      <scheme val="minor"/>
    </font>
    <font>
      <sz val="10"/>
      <name val="Arial"/>
      <family val="2"/>
    </font>
    <font>
      <b/>
      <sz val="14"/>
      <color rgb="FF000000"/>
      <name val="TH SarabunPSK"/>
      <family val="2"/>
    </font>
    <font>
      <b/>
      <sz val="14"/>
      <color theme="1"/>
      <name val="TH Sarabun New"/>
      <family val="2"/>
    </font>
    <font>
      <sz val="14"/>
      <color rgb="FF000000"/>
      <name val="TH Sarabun New"/>
      <family val="2"/>
    </font>
    <font>
      <sz val="14"/>
      <color rgb="FF0000FF"/>
      <name val="TH Sarabun New"/>
      <family val="2"/>
    </font>
    <font>
      <sz val="14"/>
      <color theme="1"/>
      <name val="TH Sarabun New"/>
      <family val="2"/>
    </font>
    <font>
      <b/>
      <sz val="14"/>
      <color rgb="FF000000"/>
      <name val="TH Sarabun New"/>
      <family val="2"/>
      <charset val="222"/>
    </font>
    <font>
      <b/>
      <sz val="14"/>
      <color rgb="FF0000FF"/>
      <name val="TH Sarabun New"/>
      <family val="2"/>
      <charset val="222"/>
    </font>
    <font>
      <b/>
      <sz val="14"/>
      <name val="TH Sarabun New"/>
      <family val="2"/>
      <charset val="222"/>
    </font>
    <font>
      <b/>
      <sz val="14"/>
      <color rgb="FF000000"/>
      <name val="TH SarabunPSK"/>
      <family val="2"/>
      <charset val="222"/>
    </font>
    <font>
      <b/>
      <sz val="14"/>
      <name val="TH SarabunPSK"/>
      <family val="2"/>
      <charset val="222"/>
    </font>
    <font>
      <b/>
      <sz val="17"/>
      <color theme="1"/>
      <name val="TH Sarabun New"/>
      <family val="2"/>
    </font>
    <font>
      <b/>
      <u/>
      <sz val="14"/>
      <color rgb="FF0000FF"/>
      <name val="TH Sarabun New"/>
      <family val="2"/>
      <charset val="222"/>
    </font>
    <font>
      <b/>
      <u/>
      <sz val="14"/>
      <color rgb="FF0000FF"/>
      <name val="TH SarabunPSK"/>
      <family val="2"/>
      <charset val="222"/>
    </font>
    <font>
      <b/>
      <u/>
      <sz val="14"/>
      <color theme="1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D757"/>
        <bgColor rgb="FFFFD966"/>
      </patternFill>
    </fill>
    <fill>
      <patternFill patternType="solid">
        <fgColor rgb="FFFFD75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C2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6">
    <xf numFmtId="0" fontId="0" fillId="0" borderId="0" xfId="0"/>
    <xf numFmtId="0" fontId="4" fillId="2" borderId="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13" fillId="2" borderId="5" xfId="0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166" fontId="13" fillId="2" borderId="5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166" fontId="14" fillId="2" borderId="5" xfId="0" applyNumberFormat="1" applyFont="1" applyFill="1" applyBorder="1" applyAlignment="1">
      <alignment horizontal="right"/>
    </xf>
    <xf numFmtId="0" fontId="3" fillId="2" borderId="0" xfId="0" applyFont="1" applyFill="1"/>
    <xf numFmtId="166" fontId="15" fillId="2" borderId="0" xfId="0" applyNumberFormat="1" applyFont="1" applyFill="1" applyAlignment="1">
      <alignment horizontal="center"/>
    </xf>
    <xf numFmtId="0" fontId="12" fillId="2" borderId="0" xfId="0" applyFont="1" applyFill="1"/>
    <xf numFmtId="0" fontId="4" fillId="2" borderId="1" xfId="0" applyFont="1" applyFill="1" applyBorder="1"/>
    <xf numFmtId="0" fontId="8" fillId="2" borderId="3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49" fontId="4" fillId="0" borderId="16" xfId="0" applyNumberFormat="1" applyFont="1" applyBorder="1"/>
    <xf numFmtId="49" fontId="4" fillId="2" borderId="16" xfId="0" applyNumberFormat="1" applyFont="1" applyFill="1" applyBorder="1" applyAlignment="1">
      <alignment horizontal="left"/>
    </xf>
    <xf numFmtId="0" fontId="4" fillId="2" borderId="16" xfId="0" applyFont="1" applyFill="1" applyBorder="1" applyAlignment="1">
      <alignment horizontal="center"/>
    </xf>
    <xf numFmtId="164" fontId="5" fillId="0" borderId="16" xfId="0" applyNumberFormat="1" applyFont="1" applyBorder="1" applyAlignment="1">
      <alignment horizontal="right"/>
    </xf>
    <xf numFmtId="0" fontId="4" fillId="2" borderId="16" xfId="0" applyFont="1" applyFill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left"/>
    </xf>
    <xf numFmtId="0" fontId="5" fillId="2" borderId="16" xfId="0" applyFont="1" applyFill="1" applyBorder="1" applyAlignment="1">
      <alignment horizontal="right"/>
    </xf>
    <xf numFmtId="0" fontId="4" fillId="3" borderId="16" xfId="0" applyFont="1" applyFill="1" applyBorder="1" applyAlignment="1">
      <alignment horizontal="center"/>
    </xf>
    <xf numFmtId="49" fontId="4" fillId="3" borderId="16" xfId="0" applyNumberFormat="1" applyFont="1" applyFill="1" applyBorder="1" applyAlignment="1">
      <alignment horizontal="center"/>
    </xf>
    <xf numFmtId="165" fontId="4" fillId="3" borderId="16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right"/>
    </xf>
    <xf numFmtId="3" fontId="5" fillId="3" borderId="16" xfId="0" applyNumberFormat="1" applyFont="1" applyFill="1" applyBorder="1" applyAlignment="1">
      <alignment horizontal="right"/>
    </xf>
    <xf numFmtId="0" fontId="4" fillId="3" borderId="16" xfId="0" applyFont="1" applyFill="1" applyBorder="1" applyAlignment="1">
      <alignment horizontal="right"/>
    </xf>
    <xf numFmtId="49" fontId="6" fillId="2" borderId="16" xfId="0" applyNumberFormat="1" applyFont="1" applyFill="1" applyBorder="1" applyAlignment="1">
      <alignment horizontal="left"/>
    </xf>
    <xf numFmtId="49" fontId="4" fillId="3" borderId="16" xfId="0" applyNumberFormat="1" applyFont="1" applyFill="1" applyBorder="1"/>
    <xf numFmtId="0" fontId="4" fillId="0" borderId="18" xfId="0" applyFont="1" applyBorder="1" applyAlignment="1">
      <alignment horizontal="center"/>
    </xf>
    <xf numFmtId="49" fontId="4" fillId="0" borderId="18" xfId="0" applyNumberFormat="1" applyFont="1" applyBorder="1" applyAlignment="1">
      <alignment horizontal="left"/>
    </xf>
    <xf numFmtId="49" fontId="4" fillId="2" borderId="18" xfId="0" applyNumberFormat="1" applyFont="1" applyFill="1" applyBorder="1" applyAlignment="1">
      <alignment horizontal="left"/>
    </xf>
    <xf numFmtId="0" fontId="4" fillId="2" borderId="18" xfId="0" applyFont="1" applyFill="1" applyBorder="1" applyAlignment="1">
      <alignment horizontal="center"/>
    </xf>
    <xf numFmtId="164" fontId="5" fillId="0" borderId="18" xfId="0" applyNumberFormat="1" applyFont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0" fontId="4" fillId="2" borderId="18" xfId="0" applyFont="1" applyFill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49" fontId="4" fillId="0" borderId="17" xfId="0" applyNumberFormat="1" applyFont="1" applyBorder="1" applyAlignment="1">
      <alignment horizontal="left"/>
    </xf>
    <xf numFmtId="49" fontId="4" fillId="2" borderId="17" xfId="0" applyNumberFormat="1" applyFont="1" applyFill="1" applyBorder="1" applyAlignment="1">
      <alignment horizontal="left"/>
    </xf>
    <xf numFmtId="0" fontId="4" fillId="2" borderId="17" xfId="0" applyFont="1" applyFill="1" applyBorder="1" applyAlignment="1">
      <alignment horizontal="center"/>
    </xf>
    <xf numFmtId="3" fontId="5" fillId="0" borderId="17" xfId="0" applyNumberFormat="1" applyFont="1" applyBorder="1" applyAlignment="1">
      <alignment horizontal="right"/>
    </xf>
    <xf numFmtId="0" fontId="5" fillId="2" borderId="17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3" fontId="5" fillId="0" borderId="18" xfId="0" applyNumberFormat="1" applyFont="1" applyBorder="1" applyAlignment="1">
      <alignment horizontal="right"/>
    </xf>
    <xf numFmtId="0" fontId="4" fillId="3" borderId="17" xfId="0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center"/>
    </xf>
    <xf numFmtId="0" fontId="5" fillId="3" borderId="17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4" fillId="3" borderId="18" xfId="0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165" fontId="4" fillId="3" borderId="18" xfId="0" applyNumberFormat="1" applyFont="1" applyFill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0" fontId="5" fillId="3" borderId="18" xfId="0" applyFont="1" applyFill="1" applyBorder="1" applyAlignment="1">
      <alignment horizontal="right"/>
    </xf>
    <xf numFmtId="0" fontId="4" fillId="3" borderId="18" xfId="0" applyFont="1" applyFill="1" applyBorder="1" applyAlignment="1">
      <alignment horizontal="right"/>
    </xf>
    <xf numFmtId="49" fontId="6" fillId="2" borderId="17" xfId="0" applyNumberFormat="1" applyFont="1" applyFill="1" applyBorder="1" applyAlignment="1">
      <alignment horizontal="left"/>
    </xf>
    <xf numFmtId="164" fontId="5" fillId="0" borderId="17" xfId="0" applyNumberFormat="1" applyFont="1" applyBorder="1" applyAlignment="1">
      <alignment horizontal="right"/>
    </xf>
    <xf numFmtId="49" fontId="4" fillId="0" borderId="18" xfId="0" applyNumberFormat="1" applyFont="1" applyBorder="1"/>
    <xf numFmtId="49" fontId="4" fillId="3" borderId="17" xfId="0" applyNumberFormat="1" applyFont="1" applyFill="1" applyBorder="1" applyAlignment="1">
      <alignment horizontal="left"/>
    </xf>
    <xf numFmtId="3" fontId="5" fillId="3" borderId="17" xfId="0" applyNumberFormat="1" applyFont="1" applyFill="1" applyBorder="1" applyAlignment="1">
      <alignment horizontal="right"/>
    </xf>
    <xf numFmtId="49" fontId="4" fillId="4" borderId="16" xfId="0" applyNumberFormat="1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165" fontId="4" fillId="4" borderId="16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right"/>
    </xf>
    <xf numFmtId="3" fontId="5" fillId="4" borderId="16" xfId="0" applyNumberFormat="1" applyFont="1" applyFill="1" applyBorder="1" applyAlignment="1">
      <alignment horizontal="right"/>
    </xf>
    <xf numFmtId="0" fontId="4" fillId="4" borderId="16" xfId="0" applyFont="1" applyFill="1" applyBorder="1" applyAlignment="1">
      <alignment horizontal="right"/>
    </xf>
    <xf numFmtId="0" fontId="4" fillId="5" borderId="16" xfId="0" applyFont="1" applyFill="1" applyBorder="1" applyAlignment="1">
      <alignment horizontal="right"/>
    </xf>
    <xf numFmtId="0" fontId="5" fillId="5" borderId="16" xfId="0" applyFont="1" applyFill="1" applyBorder="1" applyAlignment="1">
      <alignment horizontal="right"/>
    </xf>
    <xf numFmtId="0" fontId="4" fillId="4" borderId="17" xfId="0" applyFont="1" applyFill="1" applyBorder="1" applyAlignment="1">
      <alignment horizontal="center"/>
    </xf>
    <xf numFmtId="49" fontId="4" fillId="4" borderId="17" xfId="0" applyNumberFormat="1" applyFont="1" applyFill="1" applyBorder="1" applyAlignment="1">
      <alignment horizontal="center"/>
    </xf>
    <xf numFmtId="165" fontId="4" fillId="4" borderId="17" xfId="0" applyNumberFormat="1" applyFont="1" applyFill="1" applyBorder="1"/>
    <xf numFmtId="0" fontId="5" fillId="4" borderId="17" xfId="0" applyFont="1" applyFill="1" applyBorder="1" applyAlignment="1">
      <alignment horizontal="right"/>
    </xf>
    <xf numFmtId="0" fontId="4" fillId="4" borderId="17" xfId="0" applyFont="1" applyFill="1" applyBorder="1" applyAlignment="1">
      <alignment horizontal="right"/>
    </xf>
    <xf numFmtId="0" fontId="4" fillId="6" borderId="16" xfId="0" applyFont="1" applyFill="1" applyBorder="1" applyAlignment="1">
      <alignment horizontal="right"/>
    </xf>
    <xf numFmtId="0" fontId="5" fillId="6" borderId="16" xfId="0" applyFont="1" applyFill="1" applyBorder="1" applyAlignment="1">
      <alignment horizontal="right"/>
    </xf>
    <xf numFmtId="0" fontId="5" fillId="4" borderId="18" xfId="0" applyFont="1" applyFill="1" applyBorder="1" applyAlignment="1">
      <alignment horizontal="right"/>
    </xf>
    <xf numFmtId="0" fontId="4" fillId="5" borderId="17" xfId="0" applyFont="1" applyFill="1" applyBorder="1" applyAlignment="1">
      <alignment horizontal="right"/>
    </xf>
    <xf numFmtId="0" fontId="5" fillId="5" borderId="17" xfId="0" applyFont="1" applyFill="1" applyBorder="1" applyAlignment="1">
      <alignment horizontal="right"/>
    </xf>
    <xf numFmtId="0" fontId="4" fillId="5" borderId="18" xfId="0" applyFont="1" applyFill="1" applyBorder="1" applyAlignment="1">
      <alignment horizontal="right"/>
    </xf>
    <xf numFmtId="0" fontId="5" fillId="5" borderId="18" xfId="0" applyFont="1" applyFill="1" applyBorder="1" applyAlignment="1">
      <alignment horizontal="right"/>
    </xf>
    <xf numFmtId="0" fontId="4" fillId="6" borderId="16" xfId="0" applyFont="1" applyFill="1" applyBorder="1" applyAlignment="1">
      <alignment horizontal="center"/>
    </xf>
    <xf numFmtId="49" fontId="4" fillId="6" borderId="16" xfId="0" applyNumberFormat="1" applyFont="1" applyFill="1" applyBorder="1" applyAlignment="1">
      <alignment horizontal="center"/>
    </xf>
    <xf numFmtId="49" fontId="4" fillId="7" borderId="16" xfId="0" applyNumberFormat="1" applyFont="1" applyFill="1" applyBorder="1" applyAlignment="1">
      <alignment horizontal="left"/>
    </xf>
    <xf numFmtId="0" fontId="4" fillId="7" borderId="16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right"/>
    </xf>
    <xf numFmtId="3" fontId="2" fillId="6" borderId="16" xfId="0" applyNumberFormat="1" applyFont="1" applyFill="1" applyBorder="1" applyAlignment="1">
      <alignment horizontal="right"/>
    </xf>
    <xf numFmtId="164" fontId="5" fillId="6" borderId="16" xfId="0" applyNumberFormat="1" applyFont="1" applyFill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0" fontId="4" fillId="8" borderId="16" xfId="0" applyFont="1" applyFill="1" applyBorder="1" applyAlignment="1">
      <alignment horizontal="center"/>
    </xf>
    <xf numFmtId="49" fontId="4" fillId="8" borderId="16" xfId="0" applyNumberFormat="1" applyFont="1" applyFill="1" applyBorder="1" applyAlignment="1">
      <alignment horizontal="left"/>
    </xf>
    <xf numFmtId="3" fontId="5" fillId="8" borderId="16" xfId="0" applyNumberFormat="1" applyFont="1" applyFill="1" applyBorder="1" applyAlignment="1">
      <alignment horizontal="right"/>
    </xf>
    <xf numFmtId="0" fontId="4" fillId="8" borderId="16" xfId="0" applyFont="1" applyFill="1" applyBorder="1" applyAlignment="1">
      <alignment horizontal="right"/>
    </xf>
    <xf numFmtId="0" fontId="4" fillId="9" borderId="16" xfId="0" applyFont="1" applyFill="1" applyBorder="1" applyAlignment="1">
      <alignment horizontal="right"/>
    </xf>
    <xf numFmtId="0" fontId="5" fillId="8" borderId="16" xfId="0" applyFont="1" applyFill="1" applyBorder="1" applyAlignment="1">
      <alignment horizontal="right"/>
    </xf>
    <xf numFmtId="0" fontId="5" fillId="9" borderId="16" xfId="0" applyFont="1" applyFill="1" applyBorder="1" applyAlignment="1">
      <alignment horizontal="right"/>
    </xf>
    <xf numFmtId="0" fontId="4" fillId="9" borderId="16" xfId="0" applyFont="1" applyFill="1" applyBorder="1" applyAlignment="1">
      <alignment horizontal="center"/>
    </xf>
    <xf numFmtId="49" fontId="4" fillId="9" borderId="16" xfId="0" applyNumberFormat="1" applyFont="1" applyFill="1" applyBorder="1" applyAlignment="1">
      <alignment horizontal="left"/>
    </xf>
    <xf numFmtId="49" fontId="4" fillId="10" borderId="16" xfId="0" applyNumberFormat="1" applyFont="1" applyFill="1" applyBorder="1" applyAlignment="1">
      <alignment horizontal="left"/>
    </xf>
    <xf numFmtId="0" fontId="4" fillId="10" borderId="16" xfId="0" applyFont="1" applyFill="1" applyBorder="1" applyAlignment="1">
      <alignment horizontal="center"/>
    </xf>
    <xf numFmtId="164" fontId="5" fillId="9" borderId="16" xfId="0" applyNumberFormat="1" applyFont="1" applyFill="1" applyBorder="1" applyAlignment="1">
      <alignment horizontal="right"/>
    </xf>
    <xf numFmtId="0" fontId="4" fillId="10" borderId="16" xfId="0" applyFont="1" applyFill="1" applyBorder="1" applyAlignment="1">
      <alignment horizontal="right"/>
    </xf>
    <xf numFmtId="0" fontId="5" fillId="7" borderId="16" xfId="0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9" fillId="0" borderId="1" xfId="0" applyFont="1" applyBorder="1"/>
    <xf numFmtId="0" fontId="7" fillId="2" borderId="7" xfId="0" applyFont="1" applyFill="1" applyBorder="1" applyAlignment="1">
      <alignment horizontal="center"/>
    </xf>
    <xf numFmtId="0" fontId="9" fillId="0" borderId="8" xfId="0" applyFont="1" applyBorder="1"/>
    <xf numFmtId="0" fontId="9" fillId="0" borderId="6" xfId="0" applyFont="1" applyBorder="1"/>
    <xf numFmtId="0" fontId="12" fillId="2" borderId="0" xfId="0" applyFont="1" applyFill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7" fillId="0" borderId="13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1" fillId="0" borderId="2" xfId="0" applyFont="1" applyBorder="1"/>
    <xf numFmtId="3" fontId="2" fillId="11" borderId="16" xfId="0" applyNumberFormat="1" applyFont="1" applyFill="1" applyBorder="1" applyAlignment="1">
      <alignment horizontal="right"/>
    </xf>
    <xf numFmtId="3" fontId="2" fillId="11" borderId="17" xfId="0" applyNumberFormat="1" applyFont="1" applyFill="1" applyBorder="1" applyAlignment="1">
      <alignment horizontal="right"/>
    </xf>
    <xf numFmtId="3" fontId="2" fillId="11" borderId="18" xfId="0" applyNumberFormat="1" applyFont="1" applyFill="1" applyBorder="1" applyAlignment="1">
      <alignment horizontal="right"/>
    </xf>
  </cellXfs>
  <cellStyles count="2">
    <cellStyle name="Normal" xfId="0" builtinId="0"/>
    <cellStyle name="ปกติ 2" xfId="1" xr:uid="{85E4024B-3173-4C8D-9F26-3E455D5F5F58}"/>
  </cellStyles>
  <dxfs count="0"/>
  <tableStyles count="0" defaultTableStyle="TableStyleMedium2" defaultPivotStyle="PivotStyleLight16"/>
  <colors>
    <mruColors>
      <color rgb="FFFFCC29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40B0-22E1-4E40-8585-325EEEE37A15}">
  <dimension ref="A1:T42"/>
  <sheetViews>
    <sheetView tabSelected="1" view="pageBreakPreview" topLeftCell="A12" zoomScale="115" zoomScaleNormal="130" zoomScaleSheetLayoutView="115" zoomScalePageLayoutView="85" workbookViewId="0">
      <selection activeCell="G23" sqref="G23"/>
    </sheetView>
  </sheetViews>
  <sheetFormatPr defaultRowHeight="16.5" x14ac:dyDescent="0.3"/>
  <cols>
    <col min="1" max="1" width="6.375" customWidth="1"/>
    <col min="2" max="2" width="22.25" bestFit="1" customWidth="1"/>
    <col min="3" max="3" width="19.25" bestFit="1" customWidth="1"/>
    <col min="4" max="4" width="8.125" bestFit="1" customWidth="1"/>
    <col min="5" max="5" width="32.875" customWidth="1"/>
    <col min="6" max="6" width="8.5" customWidth="1"/>
    <col min="7" max="7" width="8.75" customWidth="1"/>
    <col min="8" max="8" width="10.625" bestFit="1" customWidth="1"/>
    <col min="9" max="9" width="10.375" bestFit="1" customWidth="1"/>
    <col min="14" max="14" width="10.625" bestFit="1" customWidth="1"/>
    <col min="15" max="15" width="10.375" bestFit="1" customWidth="1"/>
    <col min="16" max="16" width="6.625" customWidth="1"/>
    <col min="18" max="18" width="9.75" bestFit="1" customWidth="1"/>
    <col min="19" max="19" width="6" bestFit="1" customWidth="1"/>
    <col min="20" max="20" width="9.875" bestFit="1" customWidth="1"/>
  </cols>
  <sheetData>
    <row r="1" spans="1:20" ht="26.25" x14ac:dyDescent="0.6">
      <c r="A1" s="120" t="s">
        <v>62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ht="26.25" x14ac:dyDescent="0.6">
      <c r="A2" s="126" t="s">
        <v>63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ht="26.25" x14ac:dyDescent="0.6">
      <c r="A3" s="126" t="s">
        <v>77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ht="26.25" x14ac:dyDescent="0.6">
      <c r="A4" s="126" t="s">
        <v>64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</row>
    <row r="5" spans="1:20" ht="30" customHeight="1" x14ac:dyDescent="0.5">
      <c r="A5" s="1" t="s">
        <v>65</v>
      </c>
      <c r="B5" s="3"/>
      <c r="C5" s="3"/>
      <c r="D5" s="3"/>
      <c r="E5" s="4"/>
      <c r="F5" s="5"/>
      <c r="G5" s="5"/>
      <c r="H5" s="127" t="s">
        <v>1</v>
      </c>
      <c r="I5" s="128"/>
      <c r="J5" s="128"/>
      <c r="K5" s="128"/>
      <c r="L5" s="128"/>
      <c r="M5" s="129"/>
      <c r="N5" s="130" t="s">
        <v>2</v>
      </c>
      <c r="O5" s="128"/>
      <c r="P5" s="128"/>
      <c r="Q5" s="128"/>
      <c r="R5" s="128"/>
      <c r="S5" s="129"/>
      <c r="T5" s="131" t="s">
        <v>3</v>
      </c>
    </row>
    <row r="6" spans="1:20" ht="43.5" x14ac:dyDescent="0.5">
      <c r="A6" s="2" t="s">
        <v>66</v>
      </c>
      <c r="B6" s="6" t="s">
        <v>4</v>
      </c>
      <c r="C6" s="6" t="s">
        <v>5</v>
      </c>
      <c r="D6" s="6" t="s">
        <v>6</v>
      </c>
      <c r="E6" s="7" t="s">
        <v>7</v>
      </c>
      <c r="F6" s="8" t="s">
        <v>60</v>
      </c>
      <c r="G6" s="8" t="s">
        <v>61</v>
      </c>
      <c r="H6" s="9" t="s">
        <v>8</v>
      </c>
      <c r="I6" s="6" t="s">
        <v>9</v>
      </c>
      <c r="J6" s="6" t="s">
        <v>10</v>
      </c>
      <c r="K6" s="121" t="s">
        <v>11</v>
      </c>
      <c r="L6" s="10" t="s">
        <v>12</v>
      </c>
      <c r="M6" s="10" t="s">
        <v>13</v>
      </c>
      <c r="N6" s="9" t="s">
        <v>8</v>
      </c>
      <c r="O6" s="6" t="s">
        <v>9</v>
      </c>
      <c r="P6" s="6" t="s">
        <v>10</v>
      </c>
      <c r="Q6" s="121" t="s">
        <v>14</v>
      </c>
      <c r="R6" s="10" t="s">
        <v>12</v>
      </c>
      <c r="S6" s="10" t="s">
        <v>15</v>
      </c>
      <c r="T6" s="132"/>
    </row>
    <row r="7" spans="1:20" ht="21.75" x14ac:dyDescent="0.5">
      <c r="A7" s="19"/>
      <c r="B7" s="6"/>
      <c r="C7" s="6"/>
      <c r="D7" s="6"/>
      <c r="E7" s="7"/>
      <c r="F7" s="20"/>
      <c r="G7" s="20"/>
      <c r="H7" s="21">
        <v>244255</v>
      </c>
      <c r="I7" s="21">
        <v>244224</v>
      </c>
      <c r="J7" s="6" t="s">
        <v>16</v>
      </c>
      <c r="K7" s="122"/>
      <c r="L7" s="10" t="s">
        <v>17</v>
      </c>
      <c r="M7" s="10" t="s">
        <v>18</v>
      </c>
      <c r="N7" s="21">
        <v>244255</v>
      </c>
      <c r="O7" s="21">
        <v>244224</v>
      </c>
      <c r="P7" s="6" t="s">
        <v>16</v>
      </c>
      <c r="Q7" s="122"/>
      <c r="R7" s="10" t="s">
        <v>19</v>
      </c>
      <c r="S7" s="10" t="s">
        <v>20</v>
      </c>
      <c r="T7" s="22" t="s">
        <v>21</v>
      </c>
    </row>
    <row r="8" spans="1:20" ht="21.75" x14ac:dyDescent="0.5">
      <c r="A8" s="23">
        <v>301</v>
      </c>
      <c r="B8" s="24" t="s">
        <v>22</v>
      </c>
      <c r="C8" s="25" t="s">
        <v>23</v>
      </c>
      <c r="D8" s="26" t="s">
        <v>24</v>
      </c>
      <c r="E8" s="25" t="s">
        <v>25</v>
      </c>
      <c r="F8" s="27">
        <v>1700</v>
      </c>
      <c r="G8" s="27">
        <v>250</v>
      </c>
      <c r="H8" s="28">
        <v>2108</v>
      </c>
      <c r="I8" s="29">
        <v>2085</v>
      </c>
      <c r="J8" s="29">
        <v>23</v>
      </c>
      <c r="K8" s="29">
        <v>368</v>
      </c>
      <c r="L8" s="30">
        <v>20</v>
      </c>
      <c r="M8" s="30">
        <v>388</v>
      </c>
      <c r="N8" s="28">
        <v>0</v>
      </c>
      <c r="O8" s="29">
        <v>0</v>
      </c>
      <c r="P8" s="29">
        <v>0</v>
      </c>
      <c r="Q8" s="29">
        <v>0</v>
      </c>
      <c r="R8" s="30">
        <v>0</v>
      </c>
      <c r="S8" s="30">
        <v>0</v>
      </c>
      <c r="T8" s="31">
        <f>F8+G8+M8</f>
        <v>2338</v>
      </c>
    </row>
    <row r="9" spans="1:20" ht="21.75" x14ac:dyDescent="0.5">
      <c r="A9" s="23">
        <v>302</v>
      </c>
      <c r="B9" s="32" t="s">
        <v>26</v>
      </c>
      <c r="C9" s="25" t="s">
        <v>23</v>
      </c>
      <c r="D9" s="26" t="s">
        <v>27</v>
      </c>
      <c r="E9" s="25" t="s">
        <v>28</v>
      </c>
      <c r="F9" s="27">
        <v>1400</v>
      </c>
      <c r="G9" s="33">
        <v>200</v>
      </c>
      <c r="H9" s="28">
        <v>2428</v>
      </c>
      <c r="I9" s="29">
        <v>2421</v>
      </c>
      <c r="J9" s="29">
        <v>7</v>
      </c>
      <c r="K9" s="29">
        <v>112</v>
      </c>
      <c r="L9" s="30">
        <v>20</v>
      </c>
      <c r="M9" s="30">
        <v>132</v>
      </c>
      <c r="N9" s="28">
        <v>0</v>
      </c>
      <c r="O9" s="29">
        <v>0</v>
      </c>
      <c r="P9" s="29">
        <v>0</v>
      </c>
      <c r="Q9" s="29">
        <v>0</v>
      </c>
      <c r="R9" s="30">
        <v>0</v>
      </c>
      <c r="S9" s="30">
        <v>0</v>
      </c>
      <c r="T9" s="31">
        <f t="shared" ref="T9:T37" si="0">F9+G9+M9</f>
        <v>1732</v>
      </c>
    </row>
    <row r="10" spans="1:20" ht="21.75" x14ac:dyDescent="0.5">
      <c r="A10" s="23">
        <v>303</v>
      </c>
      <c r="B10" s="32" t="s">
        <v>67</v>
      </c>
      <c r="C10" s="32" t="s">
        <v>46</v>
      </c>
      <c r="D10" s="23" t="s">
        <v>27</v>
      </c>
      <c r="E10" s="32" t="s">
        <v>68</v>
      </c>
      <c r="F10" s="105">
        <v>1400</v>
      </c>
      <c r="G10" s="30">
        <v>200</v>
      </c>
      <c r="H10" s="29">
        <v>1156</v>
      </c>
      <c r="I10" s="29">
        <v>1156</v>
      </c>
      <c r="J10" s="29">
        <v>0</v>
      </c>
      <c r="K10" s="29">
        <v>0</v>
      </c>
      <c r="L10" s="30">
        <v>20</v>
      </c>
      <c r="M10" s="30">
        <v>20</v>
      </c>
      <c r="N10" s="29">
        <v>0</v>
      </c>
      <c r="O10" s="29">
        <v>0</v>
      </c>
      <c r="P10" s="29">
        <v>0</v>
      </c>
      <c r="Q10" s="29">
        <v>0</v>
      </c>
      <c r="R10" s="30">
        <v>0</v>
      </c>
      <c r="S10" s="30">
        <v>0</v>
      </c>
      <c r="T10" s="31">
        <f t="shared" si="0"/>
        <v>1620</v>
      </c>
    </row>
    <row r="11" spans="1:20" ht="21.75" x14ac:dyDescent="0.5">
      <c r="A11" s="23">
        <v>304</v>
      </c>
      <c r="B11" s="24" t="s">
        <v>29</v>
      </c>
      <c r="C11" s="25" t="s">
        <v>30</v>
      </c>
      <c r="D11" s="26" t="s">
        <v>27</v>
      </c>
      <c r="E11" s="25" t="s">
        <v>31</v>
      </c>
      <c r="F11" s="27">
        <v>1400</v>
      </c>
      <c r="G11" s="33">
        <v>200</v>
      </c>
      <c r="H11" s="28">
        <v>1186</v>
      </c>
      <c r="I11" s="29">
        <v>1176</v>
      </c>
      <c r="J11" s="29">
        <v>10</v>
      </c>
      <c r="K11" s="29">
        <v>160</v>
      </c>
      <c r="L11" s="30">
        <v>20</v>
      </c>
      <c r="M11" s="30">
        <v>180</v>
      </c>
      <c r="N11" s="28">
        <v>0</v>
      </c>
      <c r="O11" s="29">
        <v>0</v>
      </c>
      <c r="P11" s="29">
        <v>0</v>
      </c>
      <c r="Q11" s="29">
        <v>0</v>
      </c>
      <c r="R11" s="30">
        <v>0</v>
      </c>
      <c r="S11" s="30">
        <v>0</v>
      </c>
      <c r="T11" s="31">
        <f t="shared" si="0"/>
        <v>1780</v>
      </c>
    </row>
    <row r="12" spans="1:20" ht="21.75" x14ac:dyDescent="0.5">
      <c r="A12" s="79">
        <v>305</v>
      </c>
      <c r="B12" s="78" t="s">
        <v>32</v>
      </c>
      <c r="C12" s="78"/>
      <c r="D12" s="80"/>
      <c r="E12" s="78"/>
      <c r="F12" s="81">
        <v>0</v>
      </c>
      <c r="G12" s="82">
        <v>0</v>
      </c>
      <c r="H12" s="83">
        <v>1654</v>
      </c>
      <c r="I12" s="83">
        <v>1654</v>
      </c>
      <c r="J12" s="83">
        <v>0</v>
      </c>
      <c r="K12" s="84">
        <v>0</v>
      </c>
      <c r="L12" s="81">
        <v>0</v>
      </c>
      <c r="M12" s="85">
        <v>0</v>
      </c>
      <c r="N12" s="83">
        <v>0</v>
      </c>
      <c r="O12" s="83">
        <v>0</v>
      </c>
      <c r="P12" s="83">
        <v>0</v>
      </c>
      <c r="Q12" s="83">
        <v>0</v>
      </c>
      <c r="R12" s="81">
        <v>0</v>
      </c>
      <c r="S12" s="81">
        <v>0</v>
      </c>
      <c r="T12" s="133">
        <f t="shared" si="0"/>
        <v>0</v>
      </c>
    </row>
    <row r="13" spans="1:20" ht="22.5" thickBot="1" x14ac:dyDescent="0.55000000000000004">
      <c r="A13" s="52">
        <v>306</v>
      </c>
      <c r="B13" s="53" t="s">
        <v>33</v>
      </c>
      <c r="C13" s="54" t="s">
        <v>34</v>
      </c>
      <c r="D13" s="55" t="s">
        <v>27</v>
      </c>
      <c r="E13" s="54" t="s">
        <v>35</v>
      </c>
      <c r="F13" s="56">
        <v>1400</v>
      </c>
      <c r="G13" s="57">
        <v>200</v>
      </c>
      <c r="H13" s="58">
        <v>2250</v>
      </c>
      <c r="I13" s="59">
        <v>2233</v>
      </c>
      <c r="J13" s="59">
        <v>17</v>
      </c>
      <c r="K13" s="59">
        <v>272</v>
      </c>
      <c r="L13" s="60">
        <v>20</v>
      </c>
      <c r="M13" s="60">
        <v>292</v>
      </c>
      <c r="N13" s="58">
        <v>0</v>
      </c>
      <c r="O13" s="59">
        <v>0</v>
      </c>
      <c r="P13" s="59">
        <v>0</v>
      </c>
      <c r="Q13" s="59">
        <v>0</v>
      </c>
      <c r="R13" s="60">
        <v>0</v>
      </c>
      <c r="S13" s="60">
        <v>0</v>
      </c>
      <c r="T13" s="61">
        <f t="shared" si="0"/>
        <v>1892</v>
      </c>
    </row>
    <row r="14" spans="1:20" ht="21.75" x14ac:dyDescent="0.5">
      <c r="A14" s="42">
        <v>307</v>
      </c>
      <c r="B14" s="43" t="s">
        <v>36</v>
      </c>
      <c r="C14" s="44" t="s">
        <v>37</v>
      </c>
      <c r="D14" s="45" t="s">
        <v>27</v>
      </c>
      <c r="E14" s="44" t="s">
        <v>38</v>
      </c>
      <c r="F14" s="46">
        <v>1400</v>
      </c>
      <c r="G14" s="47">
        <v>200</v>
      </c>
      <c r="H14" s="48">
        <v>3</v>
      </c>
      <c r="I14" s="49">
        <v>3</v>
      </c>
      <c r="J14" s="49">
        <v>0</v>
      </c>
      <c r="K14" s="49">
        <v>0</v>
      </c>
      <c r="L14" s="47">
        <v>20</v>
      </c>
      <c r="M14" s="50">
        <v>20</v>
      </c>
      <c r="N14" s="48">
        <v>0</v>
      </c>
      <c r="O14" s="49">
        <v>0</v>
      </c>
      <c r="P14" s="49">
        <v>0</v>
      </c>
      <c r="Q14" s="49">
        <v>0</v>
      </c>
      <c r="R14" s="50">
        <v>0</v>
      </c>
      <c r="S14" s="50">
        <v>0</v>
      </c>
      <c r="T14" s="51">
        <f t="shared" si="0"/>
        <v>1620</v>
      </c>
    </row>
    <row r="15" spans="1:20" ht="21.75" x14ac:dyDescent="0.5">
      <c r="A15" s="98">
        <v>308</v>
      </c>
      <c r="B15" s="99" t="s">
        <v>40</v>
      </c>
      <c r="C15" s="100"/>
      <c r="D15" s="101"/>
      <c r="E15" s="100"/>
      <c r="F15" s="104">
        <v>0</v>
      </c>
      <c r="G15" s="119">
        <v>0</v>
      </c>
      <c r="H15" s="102">
        <v>1494</v>
      </c>
      <c r="I15" s="91">
        <v>1494</v>
      </c>
      <c r="J15" s="91">
        <v>0</v>
      </c>
      <c r="K15" s="91">
        <v>0</v>
      </c>
      <c r="L15" s="92">
        <v>0</v>
      </c>
      <c r="M15" s="92">
        <v>0</v>
      </c>
      <c r="N15" s="102">
        <v>0</v>
      </c>
      <c r="O15" s="91">
        <v>0</v>
      </c>
      <c r="P15" s="91">
        <v>0</v>
      </c>
      <c r="Q15" s="91">
        <v>0</v>
      </c>
      <c r="R15" s="92">
        <v>0</v>
      </c>
      <c r="S15" s="92">
        <v>0</v>
      </c>
      <c r="T15" s="103">
        <f t="shared" si="0"/>
        <v>0</v>
      </c>
    </row>
    <row r="16" spans="1:20" ht="21.75" x14ac:dyDescent="0.5">
      <c r="A16" s="23">
        <v>309</v>
      </c>
      <c r="B16" s="24" t="s">
        <v>39</v>
      </c>
      <c r="C16" s="25" t="s">
        <v>30</v>
      </c>
      <c r="D16" s="26" t="s">
        <v>27</v>
      </c>
      <c r="E16" s="25" t="s">
        <v>31</v>
      </c>
      <c r="F16" s="27">
        <v>1400</v>
      </c>
      <c r="G16" s="33">
        <v>200</v>
      </c>
      <c r="H16" s="28">
        <v>1898</v>
      </c>
      <c r="I16" s="29">
        <v>1892</v>
      </c>
      <c r="J16" s="29">
        <v>6</v>
      </c>
      <c r="K16" s="29">
        <v>96</v>
      </c>
      <c r="L16" s="30">
        <v>20</v>
      </c>
      <c r="M16" s="30">
        <v>116</v>
      </c>
      <c r="N16" s="28">
        <v>0</v>
      </c>
      <c r="O16" s="29">
        <v>0</v>
      </c>
      <c r="P16" s="29">
        <v>0</v>
      </c>
      <c r="Q16" s="29">
        <v>0</v>
      </c>
      <c r="R16" s="30">
        <v>0</v>
      </c>
      <c r="S16" s="30">
        <v>0</v>
      </c>
      <c r="T16" s="31">
        <f t="shared" si="0"/>
        <v>1716</v>
      </c>
    </row>
    <row r="17" spans="1:20" ht="21.75" x14ac:dyDescent="0.5">
      <c r="A17" s="106">
        <v>310</v>
      </c>
      <c r="B17" s="107" t="s">
        <v>69</v>
      </c>
      <c r="C17" s="107" t="s">
        <v>37</v>
      </c>
      <c r="D17" s="106" t="s">
        <v>27</v>
      </c>
      <c r="E17" s="107" t="s">
        <v>70</v>
      </c>
      <c r="F17" s="108">
        <v>1400</v>
      </c>
      <c r="G17" s="108">
        <v>200</v>
      </c>
      <c r="H17" s="109">
        <v>1098</v>
      </c>
      <c r="I17" s="109">
        <v>1098</v>
      </c>
      <c r="J17" s="109">
        <v>0</v>
      </c>
      <c r="K17" s="110">
        <v>0</v>
      </c>
      <c r="L17" s="111">
        <v>20</v>
      </c>
      <c r="M17" s="112">
        <v>20</v>
      </c>
      <c r="N17" s="109">
        <v>0</v>
      </c>
      <c r="O17" s="109">
        <v>0</v>
      </c>
      <c r="P17" s="109">
        <v>0</v>
      </c>
      <c r="Q17" s="109">
        <v>0</v>
      </c>
      <c r="R17" s="111">
        <v>0</v>
      </c>
      <c r="S17" s="111">
        <v>0</v>
      </c>
      <c r="T17" s="31">
        <f t="shared" si="0"/>
        <v>1620</v>
      </c>
    </row>
    <row r="18" spans="1:20" ht="21.75" x14ac:dyDescent="0.5">
      <c r="A18" s="113">
        <v>311</v>
      </c>
      <c r="B18" s="114" t="s">
        <v>71</v>
      </c>
      <c r="C18" s="115" t="s">
        <v>23</v>
      </c>
      <c r="D18" s="116" t="s">
        <v>27</v>
      </c>
      <c r="E18" s="115" t="s">
        <v>72</v>
      </c>
      <c r="F18" s="117">
        <v>1400</v>
      </c>
      <c r="G18" s="117">
        <v>200</v>
      </c>
      <c r="H18" s="118">
        <v>1453</v>
      </c>
      <c r="I18" s="110">
        <v>1451</v>
      </c>
      <c r="J18" s="110">
        <v>2</v>
      </c>
      <c r="K18" s="110">
        <v>32</v>
      </c>
      <c r="L18" s="112">
        <v>20</v>
      </c>
      <c r="M18" s="112">
        <v>52</v>
      </c>
      <c r="N18" s="118">
        <v>0</v>
      </c>
      <c r="O18" s="110">
        <v>0</v>
      </c>
      <c r="P18" s="110">
        <v>0</v>
      </c>
      <c r="Q18" s="110">
        <v>0</v>
      </c>
      <c r="R18" s="112">
        <v>0</v>
      </c>
      <c r="S18" s="112">
        <v>0</v>
      </c>
      <c r="T18" s="31">
        <f t="shared" si="0"/>
        <v>1652</v>
      </c>
    </row>
    <row r="19" spans="1:20" ht="22.5" thickBot="1" x14ac:dyDescent="0.55000000000000004">
      <c r="A19" s="86">
        <v>312</v>
      </c>
      <c r="B19" s="87" t="s">
        <v>32</v>
      </c>
      <c r="C19" s="87"/>
      <c r="D19" s="88"/>
      <c r="E19" s="87"/>
      <c r="F19" s="89">
        <v>0</v>
      </c>
      <c r="G19" s="89">
        <v>0</v>
      </c>
      <c r="H19" s="90">
        <v>1460</v>
      </c>
      <c r="I19" s="90">
        <v>1460</v>
      </c>
      <c r="J19" s="90">
        <v>0</v>
      </c>
      <c r="K19" s="94">
        <v>0</v>
      </c>
      <c r="L19" s="89">
        <v>0</v>
      </c>
      <c r="M19" s="95">
        <v>0</v>
      </c>
      <c r="N19" s="90">
        <v>0</v>
      </c>
      <c r="O19" s="90">
        <v>0</v>
      </c>
      <c r="P19" s="90">
        <v>0</v>
      </c>
      <c r="Q19" s="90">
        <v>0</v>
      </c>
      <c r="R19" s="89">
        <v>0</v>
      </c>
      <c r="S19" s="89">
        <v>0</v>
      </c>
      <c r="T19" s="134">
        <f t="shared" si="0"/>
        <v>0</v>
      </c>
    </row>
    <row r="20" spans="1:20" ht="21.75" x14ac:dyDescent="0.5">
      <c r="A20" s="42">
        <v>313</v>
      </c>
      <c r="B20" s="43" t="s">
        <v>41</v>
      </c>
      <c r="C20" s="44" t="s">
        <v>37</v>
      </c>
      <c r="D20" s="45" t="s">
        <v>27</v>
      </c>
      <c r="E20" s="44" t="s">
        <v>42</v>
      </c>
      <c r="F20" s="62">
        <v>1400</v>
      </c>
      <c r="G20" s="47">
        <v>200</v>
      </c>
      <c r="H20" s="48">
        <v>1515</v>
      </c>
      <c r="I20" s="49">
        <v>1512</v>
      </c>
      <c r="J20" s="49">
        <v>3</v>
      </c>
      <c r="K20" s="49">
        <v>48</v>
      </c>
      <c r="L20" s="50">
        <v>20</v>
      </c>
      <c r="M20" s="50">
        <v>68</v>
      </c>
      <c r="N20" s="48">
        <v>0</v>
      </c>
      <c r="O20" s="49">
        <v>0</v>
      </c>
      <c r="P20" s="49">
        <v>0</v>
      </c>
      <c r="Q20" s="49">
        <v>0</v>
      </c>
      <c r="R20" s="50">
        <v>0</v>
      </c>
      <c r="S20" s="50">
        <v>0</v>
      </c>
      <c r="T20" s="51">
        <f t="shared" si="0"/>
        <v>1668</v>
      </c>
    </row>
    <row r="21" spans="1:20" ht="21.75" x14ac:dyDescent="0.5">
      <c r="A21" s="98">
        <v>314</v>
      </c>
      <c r="B21" s="99" t="s">
        <v>40</v>
      </c>
      <c r="C21" s="100"/>
      <c r="D21" s="101"/>
      <c r="E21" s="100"/>
      <c r="F21" s="104">
        <v>0</v>
      </c>
      <c r="G21" s="119">
        <v>0</v>
      </c>
      <c r="H21" s="102">
        <v>1235</v>
      </c>
      <c r="I21" s="91">
        <v>1235</v>
      </c>
      <c r="J21" s="91">
        <v>0</v>
      </c>
      <c r="K21" s="91">
        <v>0</v>
      </c>
      <c r="L21" s="92">
        <v>0</v>
      </c>
      <c r="M21" s="92">
        <v>0</v>
      </c>
      <c r="N21" s="102">
        <v>0</v>
      </c>
      <c r="O21" s="91">
        <v>0</v>
      </c>
      <c r="P21" s="91">
        <v>0</v>
      </c>
      <c r="Q21" s="91">
        <v>0</v>
      </c>
      <c r="R21" s="92">
        <v>0</v>
      </c>
      <c r="S21" s="92">
        <v>0</v>
      </c>
      <c r="T21" s="103">
        <f t="shared" si="0"/>
        <v>0</v>
      </c>
    </row>
    <row r="22" spans="1:20" ht="21.75" x14ac:dyDescent="0.5">
      <c r="A22" s="23">
        <v>315</v>
      </c>
      <c r="B22" s="32" t="s">
        <v>43</v>
      </c>
      <c r="C22" s="25" t="s">
        <v>37</v>
      </c>
      <c r="D22" s="26" t="s">
        <v>27</v>
      </c>
      <c r="E22" s="40" t="s">
        <v>42</v>
      </c>
      <c r="F22" s="27">
        <v>1400</v>
      </c>
      <c r="G22" s="33">
        <v>200</v>
      </c>
      <c r="H22" s="28">
        <v>1981</v>
      </c>
      <c r="I22" s="29">
        <v>1975</v>
      </c>
      <c r="J22" s="29">
        <v>6</v>
      </c>
      <c r="K22" s="29">
        <v>96</v>
      </c>
      <c r="L22" s="30">
        <v>20</v>
      </c>
      <c r="M22" s="30">
        <v>116</v>
      </c>
      <c r="N22" s="28">
        <v>0</v>
      </c>
      <c r="O22" s="29">
        <v>0</v>
      </c>
      <c r="P22" s="29">
        <v>0</v>
      </c>
      <c r="Q22" s="29">
        <v>0</v>
      </c>
      <c r="R22" s="30">
        <v>0</v>
      </c>
      <c r="S22" s="30">
        <v>0</v>
      </c>
      <c r="T22" s="31">
        <f t="shared" si="0"/>
        <v>1716</v>
      </c>
    </row>
    <row r="23" spans="1:20" ht="21.75" x14ac:dyDescent="0.5">
      <c r="A23" s="113">
        <v>316</v>
      </c>
      <c r="B23" s="114" t="s">
        <v>73</v>
      </c>
      <c r="C23" s="25" t="s">
        <v>34</v>
      </c>
      <c r="D23" s="26" t="s">
        <v>24</v>
      </c>
      <c r="E23" s="115" t="s">
        <v>42</v>
      </c>
      <c r="F23" s="117">
        <v>1700</v>
      </c>
      <c r="G23" s="112">
        <v>250</v>
      </c>
      <c r="H23" s="118">
        <v>1043</v>
      </c>
      <c r="I23" s="110">
        <v>1026</v>
      </c>
      <c r="J23" s="110">
        <v>17</v>
      </c>
      <c r="K23" s="110">
        <v>272</v>
      </c>
      <c r="L23" s="112">
        <v>20</v>
      </c>
      <c r="M23" s="112">
        <v>292</v>
      </c>
      <c r="N23" s="118">
        <v>0</v>
      </c>
      <c r="O23" s="110">
        <v>0</v>
      </c>
      <c r="P23" s="110">
        <v>0</v>
      </c>
      <c r="Q23" s="110">
        <v>0</v>
      </c>
      <c r="R23" s="112">
        <v>0</v>
      </c>
      <c r="S23" s="112">
        <v>0</v>
      </c>
      <c r="T23" s="31">
        <f t="shared" si="0"/>
        <v>2242</v>
      </c>
    </row>
    <row r="24" spans="1:20" ht="21.75" x14ac:dyDescent="0.5">
      <c r="A24" s="34">
        <v>317</v>
      </c>
      <c r="B24" s="35" t="s">
        <v>32</v>
      </c>
      <c r="C24" s="68"/>
      <c r="D24" s="69"/>
      <c r="E24" s="41"/>
      <c r="F24" s="38">
        <v>0</v>
      </c>
      <c r="G24" s="38">
        <v>0</v>
      </c>
      <c r="H24" s="39">
        <v>675</v>
      </c>
      <c r="I24" s="39">
        <v>675</v>
      </c>
      <c r="J24" s="39">
        <v>0</v>
      </c>
      <c r="K24" s="84">
        <v>0</v>
      </c>
      <c r="L24" s="81">
        <v>0</v>
      </c>
      <c r="M24" s="85">
        <v>0</v>
      </c>
      <c r="N24" s="83">
        <v>0</v>
      </c>
      <c r="O24" s="39">
        <v>0</v>
      </c>
      <c r="P24" s="39">
        <v>0</v>
      </c>
      <c r="Q24" s="39">
        <v>0</v>
      </c>
      <c r="R24" s="37">
        <v>0</v>
      </c>
      <c r="S24" s="37">
        <v>0</v>
      </c>
      <c r="T24" s="133">
        <f t="shared" si="0"/>
        <v>0</v>
      </c>
    </row>
    <row r="25" spans="1:20" ht="22.5" thickBot="1" x14ac:dyDescent="0.55000000000000004">
      <c r="A25" s="52">
        <v>318</v>
      </c>
      <c r="B25" s="53" t="s">
        <v>45</v>
      </c>
      <c r="C25" s="73" t="s">
        <v>46</v>
      </c>
      <c r="D25" s="55" t="s">
        <v>24</v>
      </c>
      <c r="E25" s="54" t="s">
        <v>0</v>
      </c>
      <c r="F25" s="74">
        <v>1700</v>
      </c>
      <c r="G25" s="74">
        <v>250</v>
      </c>
      <c r="H25" s="58">
        <v>1289</v>
      </c>
      <c r="I25" s="59">
        <v>1285</v>
      </c>
      <c r="J25" s="59">
        <v>4</v>
      </c>
      <c r="K25" s="59">
        <v>64</v>
      </c>
      <c r="L25" s="60">
        <v>20</v>
      </c>
      <c r="M25" s="60">
        <v>84</v>
      </c>
      <c r="N25" s="58">
        <v>0</v>
      </c>
      <c r="O25" s="59">
        <v>0</v>
      </c>
      <c r="P25" s="59">
        <v>0</v>
      </c>
      <c r="Q25" s="59">
        <v>0</v>
      </c>
      <c r="R25" s="60">
        <v>0</v>
      </c>
      <c r="S25" s="60">
        <v>0</v>
      </c>
      <c r="T25" s="61">
        <f t="shared" si="0"/>
        <v>2034</v>
      </c>
    </row>
    <row r="26" spans="1:20" ht="21.75" x14ac:dyDescent="0.5">
      <c r="A26" s="67">
        <v>319</v>
      </c>
      <c r="B26" s="68" t="s">
        <v>32</v>
      </c>
      <c r="C26" s="68"/>
      <c r="D26" s="69"/>
      <c r="E26" s="68"/>
      <c r="F26" s="70">
        <v>0</v>
      </c>
      <c r="G26" s="71">
        <v>0</v>
      </c>
      <c r="H26" s="72">
        <v>1112</v>
      </c>
      <c r="I26" s="72">
        <v>1112</v>
      </c>
      <c r="J26" s="72">
        <v>0</v>
      </c>
      <c r="K26" s="96">
        <v>0</v>
      </c>
      <c r="L26" s="93">
        <v>0</v>
      </c>
      <c r="M26" s="97">
        <v>0</v>
      </c>
      <c r="N26" s="72">
        <v>0</v>
      </c>
      <c r="O26" s="72">
        <v>0</v>
      </c>
      <c r="P26" s="72">
        <v>0</v>
      </c>
      <c r="Q26" s="72">
        <v>0</v>
      </c>
      <c r="R26" s="71">
        <v>0</v>
      </c>
      <c r="S26" s="71">
        <v>0</v>
      </c>
      <c r="T26" s="135">
        <f t="shared" si="0"/>
        <v>0</v>
      </c>
    </row>
    <row r="27" spans="1:20" ht="21.75" x14ac:dyDescent="0.5">
      <c r="A27" s="113">
        <v>320</v>
      </c>
      <c r="B27" s="114" t="s">
        <v>74</v>
      </c>
      <c r="C27" s="115" t="s">
        <v>56</v>
      </c>
      <c r="D27" s="116" t="s">
        <v>27</v>
      </c>
      <c r="E27" s="115" t="s">
        <v>75</v>
      </c>
      <c r="F27" s="117">
        <v>1400</v>
      </c>
      <c r="G27" s="112">
        <v>200</v>
      </c>
      <c r="H27" s="118">
        <v>1393</v>
      </c>
      <c r="I27" s="110">
        <v>1390</v>
      </c>
      <c r="J27" s="110">
        <v>3</v>
      </c>
      <c r="K27" s="110">
        <v>48</v>
      </c>
      <c r="L27" s="112">
        <v>20</v>
      </c>
      <c r="M27" s="112">
        <v>68</v>
      </c>
      <c r="N27" s="118">
        <v>0</v>
      </c>
      <c r="O27" s="110">
        <v>0</v>
      </c>
      <c r="P27" s="110">
        <v>0</v>
      </c>
      <c r="Q27" s="110">
        <v>0</v>
      </c>
      <c r="R27" s="112">
        <v>0</v>
      </c>
      <c r="S27" s="112">
        <v>0</v>
      </c>
      <c r="T27" s="31">
        <f t="shared" si="0"/>
        <v>1668</v>
      </c>
    </row>
    <row r="28" spans="1:20" ht="21.75" x14ac:dyDescent="0.5">
      <c r="A28" s="23">
        <v>321</v>
      </c>
      <c r="B28" s="32" t="s">
        <v>48</v>
      </c>
      <c r="C28" s="25" t="s">
        <v>49</v>
      </c>
      <c r="D28" s="23" t="s">
        <v>27</v>
      </c>
      <c r="E28" s="25" t="s">
        <v>47</v>
      </c>
      <c r="F28" s="27">
        <v>1400</v>
      </c>
      <c r="G28" s="30">
        <v>200</v>
      </c>
      <c r="H28" s="28">
        <v>1336</v>
      </c>
      <c r="I28" s="29">
        <v>1335</v>
      </c>
      <c r="J28" s="29">
        <v>1</v>
      </c>
      <c r="K28" s="29">
        <v>16</v>
      </c>
      <c r="L28" s="30">
        <v>20</v>
      </c>
      <c r="M28" s="30">
        <v>36</v>
      </c>
      <c r="N28" s="28">
        <v>0</v>
      </c>
      <c r="O28" s="29">
        <v>0</v>
      </c>
      <c r="P28" s="29">
        <v>0</v>
      </c>
      <c r="Q28" s="29">
        <v>0</v>
      </c>
      <c r="R28" s="30">
        <v>0</v>
      </c>
      <c r="S28" s="30">
        <v>0</v>
      </c>
      <c r="T28" s="31">
        <f t="shared" si="0"/>
        <v>1636</v>
      </c>
    </row>
    <row r="29" spans="1:20" ht="21.75" x14ac:dyDescent="0.5">
      <c r="A29" s="23">
        <v>322</v>
      </c>
      <c r="B29" s="24" t="s">
        <v>50</v>
      </c>
      <c r="C29" s="25" t="s">
        <v>30</v>
      </c>
      <c r="D29" s="26" t="s">
        <v>27</v>
      </c>
      <c r="E29" s="25" t="s">
        <v>31</v>
      </c>
      <c r="F29" s="27">
        <v>1400</v>
      </c>
      <c r="G29" s="33">
        <v>200</v>
      </c>
      <c r="H29" s="28">
        <v>553</v>
      </c>
      <c r="I29" s="29">
        <v>553</v>
      </c>
      <c r="J29" s="29">
        <v>0</v>
      </c>
      <c r="K29" s="29">
        <v>0</v>
      </c>
      <c r="L29" s="30">
        <v>20</v>
      </c>
      <c r="M29" s="30">
        <v>20</v>
      </c>
      <c r="N29" s="28">
        <v>0</v>
      </c>
      <c r="O29" s="29">
        <v>0</v>
      </c>
      <c r="P29" s="29">
        <v>0</v>
      </c>
      <c r="Q29" s="29">
        <v>0</v>
      </c>
      <c r="R29" s="30">
        <v>0</v>
      </c>
      <c r="S29" s="30">
        <v>0</v>
      </c>
      <c r="T29" s="31">
        <f t="shared" si="0"/>
        <v>1620</v>
      </c>
    </row>
    <row r="30" spans="1:20" ht="21.75" x14ac:dyDescent="0.5">
      <c r="A30" s="23">
        <v>323</v>
      </c>
      <c r="B30" s="24" t="s">
        <v>51</v>
      </c>
      <c r="C30" s="25" t="s">
        <v>30</v>
      </c>
      <c r="D30" s="26" t="s">
        <v>27</v>
      </c>
      <c r="E30" s="25" t="s">
        <v>31</v>
      </c>
      <c r="F30" s="27">
        <v>1400</v>
      </c>
      <c r="G30" s="33">
        <v>200</v>
      </c>
      <c r="H30" s="28">
        <v>1403</v>
      </c>
      <c r="I30" s="29">
        <v>1393</v>
      </c>
      <c r="J30" s="29">
        <v>10</v>
      </c>
      <c r="K30" s="29">
        <v>160</v>
      </c>
      <c r="L30" s="30">
        <v>20</v>
      </c>
      <c r="M30" s="30">
        <v>180</v>
      </c>
      <c r="N30" s="28">
        <v>0</v>
      </c>
      <c r="O30" s="29">
        <v>0</v>
      </c>
      <c r="P30" s="29">
        <v>0</v>
      </c>
      <c r="Q30" s="29">
        <v>0</v>
      </c>
      <c r="R30" s="30">
        <v>0</v>
      </c>
      <c r="S30" s="30">
        <v>0</v>
      </c>
      <c r="T30" s="31">
        <f t="shared" si="0"/>
        <v>1780</v>
      </c>
    </row>
    <row r="31" spans="1:20" ht="22.5" thickBot="1" x14ac:dyDescent="0.55000000000000004">
      <c r="A31" s="63">
        <v>324</v>
      </c>
      <c r="B31" s="64" t="s">
        <v>32</v>
      </c>
      <c r="C31" s="64"/>
      <c r="D31" s="63"/>
      <c r="E31" s="76"/>
      <c r="F31" s="77">
        <v>0</v>
      </c>
      <c r="G31" s="65">
        <v>0</v>
      </c>
      <c r="H31" s="66">
        <v>821</v>
      </c>
      <c r="I31" s="66">
        <v>821</v>
      </c>
      <c r="J31" s="66">
        <v>0</v>
      </c>
      <c r="K31" s="94">
        <v>0</v>
      </c>
      <c r="L31" s="89">
        <v>0</v>
      </c>
      <c r="M31" s="95">
        <v>0</v>
      </c>
      <c r="N31" s="66">
        <v>0</v>
      </c>
      <c r="O31" s="66">
        <v>0</v>
      </c>
      <c r="P31" s="66">
        <v>0</v>
      </c>
      <c r="Q31" s="66">
        <v>0</v>
      </c>
      <c r="R31" s="65">
        <v>0</v>
      </c>
      <c r="S31" s="65">
        <v>0</v>
      </c>
      <c r="T31" s="134">
        <f t="shared" si="0"/>
        <v>0</v>
      </c>
    </row>
    <row r="32" spans="1:20" ht="21.75" x14ac:dyDescent="0.5">
      <c r="A32" s="42">
        <v>325</v>
      </c>
      <c r="B32" s="75" t="s">
        <v>52</v>
      </c>
      <c r="C32" s="44" t="s">
        <v>53</v>
      </c>
      <c r="D32" s="45" t="s">
        <v>27</v>
      </c>
      <c r="E32" s="44" t="s">
        <v>54</v>
      </c>
      <c r="F32" s="46">
        <v>1400</v>
      </c>
      <c r="G32" s="47">
        <v>200</v>
      </c>
      <c r="H32" s="48">
        <v>520</v>
      </c>
      <c r="I32" s="49">
        <v>511</v>
      </c>
      <c r="J32" s="49">
        <v>9</v>
      </c>
      <c r="K32" s="49">
        <v>144</v>
      </c>
      <c r="L32" s="50">
        <v>20</v>
      </c>
      <c r="M32" s="50">
        <v>164</v>
      </c>
      <c r="N32" s="48">
        <v>0</v>
      </c>
      <c r="O32" s="49">
        <v>0</v>
      </c>
      <c r="P32" s="49">
        <v>0</v>
      </c>
      <c r="Q32" s="49">
        <v>0</v>
      </c>
      <c r="R32" s="50">
        <v>0</v>
      </c>
      <c r="S32" s="50">
        <v>0</v>
      </c>
      <c r="T32" s="51">
        <f t="shared" si="0"/>
        <v>1764</v>
      </c>
    </row>
    <row r="33" spans="1:20" ht="21.75" x14ac:dyDescent="0.5">
      <c r="A33" s="34">
        <v>326</v>
      </c>
      <c r="B33" s="35" t="s">
        <v>32</v>
      </c>
      <c r="C33" s="35"/>
      <c r="D33" s="36"/>
      <c r="E33" s="35"/>
      <c r="F33" s="38">
        <v>0</v>
      </c>
      <c r="G33" s="38">
        <v>0</v>
      </c>
      <c r="H33" s="39">
        <v>741</v>
      </c>
      <c r="I33" s="39">
        <v>741</v>
      </c>
      <c r="J33" s="39">
        <v>0</v>
      </c>
      <c r="K33" s="84">
        <v>0</v>
      </c>
      <c r="L33" s="81">
        <v>0</v>
      </c>
      <c r="M33" s="85">
        <v>0</v>
      </c>
      <c r="N33" s="39">
        <v>0</v>
      </c>
      <c r="O33" s="39">
        <v>0</v>
      </c>
      <c r="P33" s="39">
        <v>0</v>
      </c>
      <c r="Q33" s="39">
        <v>0</v>
      </c>
      <c r="R33" s="37">
        <v>0</v>
      </c>
      <c r="S33" s="37">
        <v>0</v>
      </c>
      <c r="T33" s="133">
        <f t="shared" si="0"/>
        <v>0</v>
      </c>
    </row>
    <row r="34" spans="1:20" ht="21.75" x14ac:dyDescent="0.5">
      <c r="A34" s="34">
        <v>327</v>
      </c>
      <c r="B34" s="35" t="s">
        <v>32</v>
      </c>
      <c r="C34" s="35"/>
      <c r="D34" s="34"/>
      <c r="E34" s="35"/>
      <c r="F34" s="38">
        <v>0</v>
      </c>
      <c r="G34" s="38">
        <v>0</v>
      </c>
      <c r="H34" s="39">
        <v>1074</v>
      </c>
      <c r="I34" s="39">
        <v>1074</v>
      </c>
      <c r="J34" s="39">
        <v>0</v>
      </c>
      <c r="K34" s="84">
        <v>0</v>
      </c>
      <c r="L34" s="81">
        <v>0</v>
      </c>
      <c r="M34" s="85">
        <v>0</v>
      </c>
      <c r="N34" s="39">
        <v>0</v>
      </c>
      <c r="O34" s="39">
        <v>0</v>
      </c>
      <c r="P34" s="39">
        <v>0</v>
      </c>
      <c r="Q34" s="39">
        <v>0</v>
      </c>
      <c r="R34" s="37">
        <v>0</v>
      </c>
      <c r="S34" s="37">
        <v>0</v>
      </c>
      <c r="T34" s="133">
        <f t="shared" si="0"/>
        <v>0</v>
      </c>
    </row>
    <row r="35" spans="1:20" ht="21.75" x14ac:dyDescent="0.5">
      <c r="A35" s="34">
        <v>328</v>
      </c>
      <c r="B35" s="35" t="s">
        <v>32</v>
      </c>
      <c r="C35" s="35"/>
      <c r="D35" s="34"/>
      <c r="E35" s="35"/>
      <c r="F35" s="38">
        <v>0</v>
      </c>
      <c r="G35" s="37">
        <v>0</v>
      </c>
      <c r="H35" s="39">
        <v>1154</v>
      </c>
      <c r="I35" s="39">
        <v>1154</v>
      </c>
      <c r="J35" s="39">
        <v>0</v>
      </c>
      <c r="K35" s="84">
        <v>0</v>
      </c>
      <c r="L35" s="81">
        <v>0</v>
      </c>
      <c r="M35" s="85">
        <v>0</v>
      </c>
      <c r="N35" s="39">
        <v>0</v>
      </c>
      <c r="O35" s="39">
        <v>0</v>
      </c>
      <c r="P35" s="39">
        <v>0</v>
      </c>
      <c r="Q35" s="39">
        <v>0</v>
      </c>
      <c r="R35" s="37">
        <v>0</v>
      </c>
      <c r="S35" s="37">
        <v>0</v>
      </c>
      <c r="T35" s="133">
        <f t="shared" si="0"/>
        <v>0</v>
      </c>
    </row>
    <row r="36" spans="1:20" ht="21.75" x14ac:dyDescent="0.5">
      <c r="A36" s="98">
        <v>329</v>
      </c>
      <c r="B36" s="99" t="s">
        <v>40</v>
      </c>
      <c r="C36" s="100"/>
      <c r="D36" s="98"/>
      <c r="E36" s="100"/>
      <c r="F36" s="104">
        <v>0</v>
      </c>
      <c r="G36" s="92">
        <v>0</v>
      </c>
      <c r="H36" s="102">
        <v>1141</v>
      </c>
      <c r="I36" s="91">
        <v>1141</v>
      </c>
      <c r="J36" s="91">
        <v>0</v>
      </c>
      <c r="K36" s="91">
        <v>0</v>
      </c>
      <c r="L36" s="92">
        <v>0</v>
      </c>
      <c r="M36" s="92">
        <v>0</v>
      </c>
      <c r="N36" s="102">
        <v>0</v>
      </c>
      <c r="O36" s="91">
        <v>0</v>
      </c>
      <c r="P36" s="91">
        <v>0</v>
      </c>
      <c r="Q36" s="91">
        <v>0</v>
      </c>
      <c r="R36" s="92">
        <v>0</v>
      </c>
      <c r="S36" s="92">
        <v>0</v>
      </c>
      <c r="T36" s="103">
        <f t="shared" si="0"/>
        <v>0</v>
      </c>
    </row>
    <row r="37" spans="1:20" ht="22.5" thickBot="1" x14ac:dyDescent="0.55000000000000004">
      <c r="A37" s="52">
        <v>330</v>
      </c>
      <c r="B37" s="53" t="s">
        <v>55</v>
      </c>
      <c r="C37" s="54" t="s">
        <v>56</v>
      </c>
      <c r="D37" s="55" t="s">
        <v>27</v>
      </c>
      <c r="E37" s="54" t="s">
        <v>44</v>
      </c>
      <c r="F37" s="74">
        <v>1400</v>
      </c>
      <c r="G37" s="57">
        <v>200</v>
      </c>
      <c r="H37" s="58">
        <v>1232</v>
      </c>
      <c r="I37" s="59">
        <v>1232</v>
      </c>
      <c r="J37" s="59">
        <v>0</v>
      </c>
      <c r="K37" s="59">
        <v>0</v>
      </c>
      <c r="L37" s="60">
        <v>20</v>
      </c>
      <c r="M37" s="60">
        <v>20</v>
      </c>
      <c r="N37" s="58">
        <v>0</v>
      </c>
      <c r="O37" s="59">
        <v>0</v>
      </c>
      <c r="P37" s="59">
        <v>0</v>
      </c>
      <c r="Q37" s="59">
        <v>0</v>
      </c>
      <c r="R37" s="60">
        <v>0</v>
      </c>
      <c r="S37" s="60">
        <v>0</v>
      </c>
      <c r="T37" s="61">
        <f t="shared" si="0"/>
        <v>1620</v>
      </c>
    </row>
    <row r="38" spans="1:20" ht="22.5" thickBot="1" x14ac:dyDescent="0.55000000000000004">
      <c r="A38" s="123" t="s">
        <v>57</v>
      </c>
      <c r="B38" s="124"/>
      <c r="C38" s="124"/>
      <c r="D38" s="124"/>
      <c r="E38" s="125"/>
      <c r="F38" s="11">
        <f>SUM(F8:F37)</f>
        <v>27500</v>
      </c>
      <c r="G38" s="11">
        <f t="shared" ref="G38:T38" si="1">SUM(G8:G37)</f>
        <v>3950</v>
      </c>
      <c r="H38" s="12">
        <f t="shared" si="1"/>
        <v>38406</v>
      </c>
      <c r="I38" s="12">
        <f t="shared" si="1"/>
        <v>38288</v>
      </c>
      <c r="J38" s="12">
        <f t="shared" si="1"/>
        <v>118</v>
      </c>
      <c r="K38" s="12">
        <f t="shared" si="1"/>
        <v>1888</v>
      </c>
      <c r="L38" s="12">
        <f t="shared" si="1"/>
        <v>380</v>
      </c>
      <c r="M38" s="13">
        <f t="shared" si="1"/>
        <v>2268</v>
      </c>
      <c r="N38" s="12">
        <f t="shared" si="1"/>
        <v>0</v>
      </c>
      <c r="O38" s="12">
        <f t="shared" si="1"/>
        <v>0</v>
      </c>
      <c r="P38" s="12">
        <f t="shared" si="1"/>
        <v>0</v>
      </c>
      <c r="Q38" s="12">
        <f t="shared" si="1"/>
        <v>0</v>
      </c>
      <c r="R38" s="12">
        <f t="shared" si="1"/>
        <v>0</v>
      </c>
      <c r="S38" s="14">
        <f t="shared" si="1"/>
        <v>0</v>
      </c>
      <c r="T38" s="15">
        <f t="shared" si="1"/>
        <v>33718</v>
      </c>
    </row>
    <row r="39" spans="1:20" ht="7.15" customHeight="1" x14ac:dyDescent="0.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  <c r="N39" s="17"/>
      <c r="O39" s="17"/>
      <c r="P39" s="17"/>
      <c r="Q39" s="17"/>
      <c r="R39" s="17"/>
      <c r="S39" s="17"/>
      <c r="T39" s="17"/>
    </row>
    <row r="40" spans="1:20" ht="26.25" x14ac:dyDescent="0.6">
      <c r="A40" s="18" t="s">
        <v>58</v>
      </c>
      <c r="B40" s="18"/>
      <c r="C40" s="18"/>
      <c r="D40" s="18"/>
      <c r="E40" s="18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26.25" x14ac:dyDescent="0.6">
      <c r="A41" s="18" t="s">
        <v>76</v>
      </c>
      <c r="B41" s="18"/>
      <c r="C41" s="18"/>
      <c r="D41" s="18"/>
      <c r="E41" s="18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26.25" x14ac:dyDescent="0.6">
      <c r="A42" s="18" t="s">
        <v>59</v>
      </c>
      <c r="B42" s="18"/>
      <c r="C42" s="18"/>
      <c r="D42" s="18"/>
      <c r="E42" s="18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</sheetData>
  <mergeCells count="10">
    <mergeCell ref="A1:T1"/>
    <mergeCell ref="Q6:Q7"/>
    <mergeCell ref="A38:E38"/>
    <mergeCell ref="A2:T2"/>
    <mergeCell ref="A3:T3"/>
    <mergeCell ref="A4:T4"/>
    <mergeCell ref="H5:M5"/>
    <mergeCell ref="N5:S5"/>
    <mergeCell ref="T5:T6"/>
    <mergeCell ref="K6:K7"/>
  </mergeCells>
  <pageMargins left="0.25" right="0.25" top="0.75" bottom="0.75" header="0.3" footer="0.3"/>
  <pageSetup paperSize="66" orientation="landscape" r:id="rId1"/>
  <ignoredErrors>
    <ignoredError sqref="H38:I38 N38:O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สค68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Bumrungchoo</dc:creator>
  <cp:lastModifiedBy>Parinya Bumrungchoo</cp:lastModifiedBy>
  <cp:lastPrinted>2025-09-01T07:01:28Z</cp:lastPrinted>
  <dcterms:created xsi:type="dcterms:W3CDTF">2025-09-01T06:30:11Z</dcterms:created>
  <dcterms:modified xsi:type="dcterms:W3CDTF">2025-12-03T05:50:35Z</dcterms:modified>
</cp:coreProperties>
</file>